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vitafaustina/Desktop/E-Commerce-Growth-Unit-Economics-Analytics/excel/"/>
    </mc:Choice>
  </mc:AlternateContent>
  <xr:revisionPtr revIDLastSave="0" documentId="13_ncr:1_{F187E830-1FED-1740-9479-264251259BA0}" xr6:coauthVersionLast="47" xr6:coauthVersionMax="47" xr10:uidLastSave="{00000000-0000-0000-0000-000000000000}"/>
  <bookViews>
    <workbookView xWindow="60" yWindow="600" windowWidth="25440" windowHeight="14760" activeTab="2" xr2:uid="{B565298B-F8FF-E447-8547-59DBDC8E0516}"/>
  </bookViews>
  <sheets>
    <sheet name="Weekly_Actuals" sheetId="1" r:id="rId1"/>
    <sheet name="Forecast_Assumptions" sheetId="2" r:id="rId2"/>
    <sheet name="Variance_Bridge" sheetId="4" r:id="rId3"/>
  </sheets>
  <definedNames>
    <definedName name="_xlchart.v1.0" hidden="1">Variance_Bridge!$D$6:$G$6</definedName>
    <definedName name="_xlchart.v1.1" hidden="1">Variance_Bridge!$A$8:$D$8</definedName>
    <definedName name="_xlchart.v1.2" hidden="1">Variance_Bridge!$A$9:$D$9</definedName>
    <definedName name="_xlchart.v1.3" hidden="1">Variance_Bridge!$A$8:$D$8</definedName>
    <definedName name="_xlchart.v1.4" hidden="1">Variance_Bridge!$A$9:$D$9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4" l="1"/>
  <c r="B9" i="4"/>
  <c r="C9" i="4"/>
  <c r="D9" i="4"/>
  <c r="B2" i="4"/>
  <c r="C2" i="4"/>
  <c r="D2" i="4"/>
  <c r="E2" i="4"/>
  <c r="F2" i="4"/>
  <c r="H2" i="4" s="1"/>
  <c r="G2" i="4"/>
  <c r="B3" i="4"/>
  <c r="C3" i="4"/>
  <c r="D3" i="4"/>
  <c r="E3" i="4"/>
  <c r="F3" i="4"/>
  <c r="H3" i="4" s="1"/>
  <c r="I3" i="4" s="1"/>
  <c r="G3" i="4"/>
  <c r="B4" i="4"/>
  <c r="C4" i="4"/>
  <c r="D4" i="4"/>
  <c r="E4" i="4"/>
  <c r="F4" i="4"/>
  <c r="H4" i="4" s="1"/>
  <c r="I4" i="4" s="1"/>
  <c r="G4" i="4"/>
  <c r="B5" i="4"/>
  <c r="C5" i="4"/>
  <c r="D5" i="4"/>
  <c r="E5" i="4"/>
  <c r="F5" i="4"/>
  <c r="H5" i="4" s="1"/>
  <c r="I5" i="4" s="1"/>
  <c r="G5" i="4"/>
  <c r="B6" i="4"/>
  <c r="D6" i="4"/>
  <c r="E6" i="4"/>
  <c r="F6" i="4"/>
  <c r="G6" i="4"/>
  <c r="B2" i="2"/>
  <c r="B4" i="2" s="1"/>
  <c r="B3" i="2"/>
  <c r="H6" i="4" l="1"/>
  <c r="I2" i="4"/>
  <c r="I6" i="4" s="1"/>
</calcChain>
</file>

<file path=xl/sharedStrings.xml><?xml version="1.0" encoding="utf-8"?>
<sst xmlns="http://schemas.openxmlformats.org/spreadsheetml/2006/main" count="42" uniqueCount="25">
  <si>
    <t>Week</t>
  </si>
  <si>
    <t>Sessions</t>
  </si>
  <si>
    <t>Purchases</t>
  </si>
  <si>
    <t>CVR %</t>
  </si>
  <si>
    <t>Revenue</t>
  </si>
  <si>
    <t>AOV</t>
  </si>
  <si>
    <t>Rev per Session</t>
  </si>
  <si>
    <t>Include</t>
  </si>
  <si>
    <t>No</t>
  </si>
  <si>
    <t>Yes</t>
  </si>
  <si>
    <t>Note: 10/26 excluded as a partial boundary week. 1/25 excluded - AOV collapses to $15.32 vs a $55-75 baseline, likely an artifact at the edge of the extraction window. See docs/data_quality_report.md.</t>
  </si>
  <si>
    <t>Forecast basis</t>
  </si>
  <si>
    <t>November actuals (5 weeks: 11/2-11/30)</t>
  </si>
  <si>
    <t>Avg weekly sessions</t>
  </si>
  <si>
    <t>Avg revenue per session</t>
  </si>
  <si>
    <t>Forecast weekly revenue</t>
  </si>
  <si>
    <t>Actual Sessions</t>
  </si>
  <si>
    <t>Actual Rev/Session</t>
  </si>
  <si>
    <t>Actual Revenue</t>
  </si>
  <si>
    <t>Forecast Revenue</t>
  </si>
  <si>
    <t>Volume Variance</t>
  </si>
  <si>
    <t>Rate Variance</t>
  </si>
  <si>
    <t>Total Variance</t>
  </si>
  <si>
    <t>Check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</si>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</sst>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&quot;%&quot;"/>
    <numFmt numFmtId="169" formatCode="&quot;$&quot;#,##0.00"/>
    <numFmt numFmtId="170" formatCode="&quot;$&quot;#,##0.0000"/>
    <numFmt numFmtId="171" formatCode="0.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" fontId="0" fillId="0" borderId="0" xfId="0" applyNumberFormat="1"/>
    <xf numFmtId="171" fontId="0" fillId="0" borderId="0" xfId="0" applyNumberFormat="1"/>
    <xf numFmtId="2" fontId="0" fillId="0" borderId="0" xfId="0" applyNumberFormat="1"/>
    <xf numFmtId="16" fontId="0" fillId="0" borderId="0" xfId="0" applyNumberFormat="1"/>
    <xf numFmtId="3" fontId="0" fillId="0" borderId="0" xfId="0" applyNumberFormat="1"/>
    <xf numFmtId="0" fontId="1" fillId="0" borderId="0" xfId="0" applyFont="1"/>
    <xf numFmtId="170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December missed plan by $5.6K — but traffic beat it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waterfall" uniqueId="{FB18545B-6197-3747-B877-68592E7DAF1A}">
          <cx:dataLabels pos="outEnd"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13</xdr:row>
      <xdr:rowOff>12700</xdr:rowOff>
    </xdr:from>
    <xdr:to>
      <xdr:col>6</xdr:col>
      <xdr:colOff>412750</xdr:colOff>
      <xdr:row>26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696F470-F3D9-E409-F894-89A8715A72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70550" y="2654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AA55-EFFA-6848-8FA5-5EF03952102E}">
  <dimension ref="A1:H17"/>
  <sheetViews>
    <sheetView workbookViewId="0">
      <selection activeCell="C20" sqref="C20"/>
    </sheetView>
  </sheetViews>
  <sheetFormatPr baseColWidth="10" defaultRowHeight="16" x14ac:dyDescent="0.2"/>
  <cols>
    <col min="4" max="4" width="10.83203125" style="2"/>
    <col min="5" max="6" width="10.83203125" style="3"/>
    <col min="7" max="7" width="14.33203125" style="4" customWidth="1"/>
  </cols>
  <sheetData>
    <row r="1" spans="1:8" x14ac:dyDescent="0.2">
      <c r="A1" t="s">
        <v>0</v>
      </c>
      <c r="B1" t="s">
        <v>1</v>
      </c>
      <c r="C1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t="s">
        <v>7</v>
      </c>
    </row>
    <row r="2" spans="1:8" x14ac:dyDescent="0.2">
      <c r="A2" s="1">
        <v>44130</v>
      </c>
      <c r="B2">
        <v>2625</v>
      </c>
      <c r="C2">
        <v>13</v>
      </c>
      <c r="D2" s="2">
        <v>0.495</v>
      </c>
      <c r="E2" s="3">
        <v>773</v>
      </c>
      <c r="F2" s="3">
        <v>55.21</v>
      </c>
      <c r="G2" s="4">
        <v>0.29449999999999998</v>
      </c>
      <c r="H2" t="s">
        <v>8</v>
      </c>
    </row>
    <row r="3" spans="1:8" x14ac:dyDescent="0.2">
      <c r="A3" s="1">
        <v>44137</v>
      </c>
      <c r="B3">
        <v>24991</v>
      </c>
      <c r="C3">
        <v>249</v>
      </c>
      <c r="D3" s="2">
        <v>0.996</v>
      </c>
      <c r="E3" s="3">
        <v>21820</v>
      </c>
      <c r="F3" s="3">
        <v>74.98</v>
      </c>
      <c r="G3" s="4">
        <v>0.87309999999999999</v>
      </c>
      <c r="H3" t="s">
        <v>9</v>
      </c>
    </row>
    <row r="4" spans="1:8" x14ac:dyDescent="0.2">
      <c r="A4" s="1">
        <v>44144</v>
      </c>
      <c r="B4">
        <v>22508</v>
      </c>
      <c r="C4">
        <v>341</v>
      </c>
      <c r="D4" s="2">
        <v>1.5149999999999999</v>
      </c>
      <c r="E4" s="3">
        <v>23694</v>
      </c>
      <c r="F4" s="3">
        <v>64.739999999999995</v>
      </c>
      <c r="G4" s="4">
        <v>1.0527</v>
      </c>
      <c r="H4" t="s">
        <v>9</v>
      </c>
    </row>
    <row r="5" spans="1:8" x14ac:dyDescent="0.2">
      <c r="A5" s="1">
        <v>44151</v>
      </c>
      <c r="B5">
        <v>25914</v>
      </c>
      <c r="C5">
        <v>374</v>
      </c>
      <c r="D5" s="2">
        <v>1.4430000000000001</v>
      </c>
      <c r="E5" s="3">
        <v>38086</v>
      </c>
      <c r="F5" s="3">
        <v>67.650000000000006</v>
      </c>
      <c r="G5" s="4">
        <v>1.4697</v>
      </c>
      <c r="H5" t="s">
        <v>9</v>
      </c>
    </row>
    <row r="6" spans="1:8" x14ac:dyDescent="0.2">
      <c r="A6" s="1">
        <v>44158</v>
      </c>
      <c r="B6">
        <v>27780</v>
      </c>
      <c r="C6">
        <v>515</v>
      </c>
      <c r="D6" s="2">
        <v>1.8540000000000001</v>
      </c>
      <c r="E6" s="3">
        <v>47973</v>
      </c>
      <c r="F6" s="3">
        <v>70.44</v>
      </c>
      <c r="G6" s="4">
        <v>1.7269000000000001</v>
      </c>
      <c r="H6" t="s">
        <v>9</v>
      </c>
    </row>
    <row r="7" spans="1:8" x14ac:dyDescent="0.2">
      <c r="A7" s="1">
        <v>44165</v>
      </c>
      <c r="B7">
        <v>31088</v>
      </c>
      <c r="C7">
        <v>590</v>
      </c>
      <c r="D7" s="2">
        <v>1.8979999999999999</v>
      </c>
      <c r="E7" s="3">
        <v>43042</v>
      </c>
      <c r="F7" s="3">
        <v>66.84</v>
      </c>
      <c r="G7" s="4">
        <v>1.3845000000000001</v>
      </c>
      <c r="H7" t="s">
        <v>9</v>
      </c>
    </row>
    <row r="8" spans="1:8" x14ac:dyDescent="0.2">
      <c r="A8" s="1">
        <v>44172</v>
      </c>
      <c r="B8">
        <v>38729</v>
      </c>
      <c r="C8">
        <v>772</v>
      </c>
      <c r="D8" s="2">
        <v>1.9930000000000001</v>
      </c>
      <c r="E8" s="3">
        <v>59721</v>
      </c>
      <c r="F8" s="3">
        <v>69.040000000000006</v>
      </c>
      <c r="G8" s="4">
        <v>1.542</v>
      </c>
      <c r="H8" t="s">
        <v>9</v>
      </c>
    </row>
    <row r="9" spans="1:8" x14ac:dyDescent="0.2">
      <c r="A9" s="1">
        <v>44179</v>
      </c>
      <c r="B9">
        <v>33411</v>
      </c>
      <c r="C9">
        <v>549</v>
      </c>
      <c r="D9" s="2">
        <v>1.643</v>
      </c>
      <c r="E9" s="3">
        <v>47276</v>
      </c>
      <c r="F9" s="3">
        <v>69.02</v>
      </c>
      <c r="G9" s="4">
        <v>1.415</v>
      </c>
      <c r="H9" t="s">
        <v>9</v>
      </c>
    </row>
    <row r="10" spans="1:8" x14ac:dyDescent="0.2">
      <c r="A10" s="1">
        <v>44186</v>
      </c>
      <c r="B10">
        <v>22083</v>
      </c>
      <c r="C10">
        <v>233</v>
      </c>
      <c r="D10" s="2">
        <v>1.0549999999999999</v>
      </c>
      <c r="E10" s="3">
        <v>14716</v>
      </c>
      <c r="F10" s="3">
        <v>57.26</v>
      </c>
      <c r="G10" s="4">
        <v>0.66639999999999999</v>
      </c>
      <c r="H10" t="s">
        <v>9</v>
      </c>
    </row>
    <row r="11" spans="1:8" x14ac:dyDescent="0.2">
      <c r="A11" s="1">
        <v>44193</v>
      </c>
      <c r="B11">
        <v>20444</v>
      </c>
      <c r="C11">
        <v>138</v>
      </c>
      <c r="D11" s="2">
        <v>0.67500000000000004</v>
      </c>
      <c r="E11" s="3">
        <v>10368</v>
      </c>
      <c r="F11" s="3">
        <v>62.84</v>
      </c>
      <c r="G11" s="4">
        <v>0.5071</v>
      </c>
      <c r="H11" t="s">
        <v>9</v>
      </c>
    </row>
    <row r="12" spans="1:8" x14ac:dyDescent="0.2">
      <c r="A12" s="1">
        <v>44200</v>
      </c>
      <c r="B12">
        <v>29029</v>
      </c>
      <c r="C12">
        <v>162</v>
      </c>
      <c r="D12" s="2">
        <v>0.55800000000000005</v>
      </c>
      <c r="E12" s="3">
        <v>9402</v>
      </c>
      <c r="F12" s="3">
        <v>55.31</v>
      </c>
      <c r="G12" s="4">
        <v>0.32390000000000002</v>
      </c>
      <c r="H12" t="s">
        <v>9</v>
      </c>
    </row>
    <row r="13" spans="1:8" x14ac:dyDescent="0.2">
      <c r="A13" s="1">
        <v>44207</v>
      </c>
      <c r="B13">
        <v>27707</v>
      </c>
      <c r="C13">
        <v>227</v>
      </c>
      <c r="D13" s="2">
        <v>0.81899999999999995</v>
      </c>
      <c r="E13" s="3">
        <v>13150</v>
      </c>
      <c r="F13" s="3">
        <v>51.98</v>
      </c>
      <c r="G13" s="4">
        <v>0.47460000000000002</v>
      </c>
      <c r="H13" t="s">
        <v>9</v>
      </c>
    </row>
    <row r="14" spans="1:8" x14ac:dyDescent="0.2">
      <c r="A14" s="1">
        <v>44214</v>
      </c>
      <c r="B14">
        <v>27478</v>
      </c>
      <c r="C14">
        <v>375</v>
      </c>
      <c r="D14" s="2">
        <v>1.365</v>
      </c>
      <c r="E14" s="3">
        <v>26966</v>
      </c>
      <c r="F14" s="3">
        <v>67.42</v>
      </c>
      <c r="G14" s="4">
        <v>0.98140000000000005</v>
      </c>
      <c r="H14" t="s">
        <v>9</v>
      </c>
    </row>
    <row r="15" spans="1:8" x14ac:dyDescent="0.2">
      <c r="A15" s="1">
        <v>44221</v>
      </c>
      <c r="B15">
        <v>26342</v>
      </c>
      <c r="C15">
        <v>310</v>
      </c>
      <c r="D15" s="2">
        <v>1.177</v>
      </c>
      <c r="E15" s="3">
        <v>5178</v>
      </c>
      <c r="F15" s="3">
        <v>15.32</v>
      </c>
      <c r="G15" s="4">
        <v>0.1966</v>
      </c>
      <c r="H15" t="s">
        <v>8</v>
      </c>
    </row>
    <row r="17" spans="1:1" x14ac:dyDescent="0.2">
      <c r="A1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F0DB-2528-8B40-B54A-B98E9EFB2537}">
  <dimension ref="A1:B4"/>
  <sheetViews>
    <sheetView workbookViewId="0">
      <selection activeCell="B4" sqref="B4"/>
    </sheetView>
  </sheetViews>
  <sheetFormatPr baseColWidth="10" defaultRowHeight="16" x14ac:dyDescent="0.2"/>
  <cols>
    <col min="1" max="1" width="27.6640625" customWidth="1"/>
    <col min="2" max="2" width="42.5" customWidth="1"/>
  </cols>
  <sheetData>
    <row r="1" spans="1:2" x14ac:dyDescent="0.2">
      <c r="A1" t="s">
        <v>11</v>
      </c>
      <c r="B1" t="s">
        <v>12</v>
      </c>
    </row>
    <row r="2" spans="1:2" x14ac:dyDescent="0.2">
      <c r="A2" t="s">
        <v>13</v>
      </c>
      <c r="B2" s="5">
        <f>AVERAGE(Weekly_Actuals!B3:B7)</f>
        <v>26456.2</v>
      </c>
    </row>
    <row r="3" spans="1:2" x14ac:dyDescent="0.2">
      <c r="A3" t="s">
        <v>14</v>
      </c>
      <c r="B3" s="6">
        <f>AVERAGE(Weekly_Actuals!G3:G7)</f>
        <v>1.3013800000000002</v>
      </c>
    </row>
    <row r="4" spans="1:2" x14ac:dyDescent="0.2">
      <c r="A4" t="s">
        <v>15</v>
      </c>
      <c r="B4" s="7">
        <f>B2*B3</f>
        <v>34429.569556000009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A9C3-703F-1C48-958F-A9890CB99B42}">
  <dimension ref="A1:I9"/>
  <sheetViews>
    <sheetView tabSelected="1" workbookViewId="0">
      <selection activeCell="H26" sqref="H26"/>
    </sheetView>
  </sheetViews>
  <sheetFormatPr baseColWidth="10" defaultRowHeight="16" x14ac:dyDescent="0.2"/>
  <cols>
    <col min="1" max="1" width="26.1640625" customWidth="1"/>
    <col min="2" max="2" width="23" customWidth="1"/>
    <col min="3" max="3" width="19.6640625" style="4" customWidth="1"/>
    <col min="4" max="4" width="20.6640625" style="9" customWidth="1"/>
    <col min="5" max="5" width="18.5" style="9" customWidth="1"/>
    <col min="6" max="6" width="21" style="9" customWidth="1"/>
    <col min="7" max="7" width="25.1640625" style="9" customWidth="1"/>
    <col min="8" max="8" width="23.1640625" style="9" customWidth="1"/>
    <col min="9" max="9" width="10.83203125" style="9"/>
  </cols>
  <sheetData>
    <row r="1" spans="1:9" x14ac:dyDescent="0.2">
      <c r="A1" t="s">
        <v>0</v>
      </c>
      <c r="B1" t="s">
        <v>16</v>
      </c>
      <c r="C1" s="4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</row>
    <row r="2" spans="1:9" x14ac:dyDescent="0.2">
      <c r="A2" s="8">
        <v>46363</v>
      </c>
      <c r="B2">
        <f>Weekly_Actuals!B8</f>
        <v>38729</v>
      </c>
      <c r="C2" s="4">
        <f>Weekly_Actuals!G8</f>
        <v>1.542</v>
      </c>
      <c r="D2" s="9">
        <f>Weekly_Actuals!E8</f>
        <v>59721</v>
      </c>
      <c r="E2" s="9">
        <f>Forecast_Assumptions!$B$4</f>
        <v>34429.569556000009</v>
      </c>
      <c r="F2" s="9">
        <f>(B2-Forecast_Assumptions!$B$2)*Forecast_Assumptions!$B$3</f>
        <v>15971.576464000002</v>
      </c>
      <c r="G2" s="9">
        <f>B2*(C2-Forecast_Assumptions!$B$3)</f>
        <v>9318.971979999993</v>
      </c>
      <c r="H2" s="9">
        <f>F2+G2</f>
        <v>25290.548443999993</v>
      </c>
      <c r="I2" s="9">
        <f>H2-(D2-E2)</f>
        <v>-0.88199999999778811</v>
      </c>
    </row>
    <row r="3" spans="1:9" x14ac:dyDescent="0.2">
      <c r="A3" s="8">
        <v>46370</v>
      </c>
      <c r="B3">
        <f>Weekly_Actuals!B9</f>
        <v>33411</v>
      </c>
      <c r="C3" s="4">
        <f>Weekly_Actuals!G9</f>
        <v>1.415</v>
      </c>
      <c r="D3" s="9">
        <f>Weekly_Actuals!E9</f>
        <v>47276</v>
      </c>
      <c r="E3" s="9">
        <f>Forecast_Assumptions!$B$4</f>
        <v>34429.569556000009</v>
      </c>
      <c r="F3" s="9">
        <f>(B3-Forecast_Assumptions!$B$2)*Forecast_Assumptions!$B$3</f>
        <v>9050.8376239999998</v>
      </c>
      <c r="G3" s="9">
        <f>B3*(C3-Forecast_Assumptions!$B$3)</f>
        <v>3796.1578199999944</v>
      </c>
      <c r="H3" s="9">
        <f>F3+G3</f>
        <v>12846.995443999995</v>
      </c>
      <c r="I3" s="9">
        <f>H3-(D3-E3)</f>
        <v>0.5650000000041473</v>
      </c>
    </row>
    <row r="4" spans="1:9" x14ac:dyDescent="0.2">
      <c r="A4" s="8">
        <v>46377</v>
      </c>
      <c r="B4">
        <f>Weekly_Actuals!B10</f>
        <v>22083</v>
      </c>
      <c r="C4" s="4">
        <f>Weekly_Actuals!G10</f>
        <v>0.66639999999999999</v>
      </c>
      <c r="D4" s="9">
        <f>Weekly_Actuals!E10</f>
        <v>14716</v>
      </c>
      <c r="E4" s="9">
        <f>Forecast_Assumptions!$B$4</f>
        <v>34429.569556000009</v>
      </c>
      <c r="F4" s="9">
        <f>(B4-Forecast_Assumptions!$B$2)*Forecast_Assumptions!$B$3</f>
        <v>-5691.1950160000015</v>
      </c>
      <c r="G4" s="9">
        <f>B4*(C4-Forecast_Assumptions!$B$3)</f>
        <v>-14022.263340000005</v>
      </c>
      <c r="H4" s="9">
        <f>F4+G4</f>
        <v>-19713.458356000006</v>
      </c>
      <c r="I4" s="9">
        <f>H4-(D4-E4)</f>
        <v>0.11120000000300934</v>
      </c>
    </row>
    <row r="5" spans="1:9" x14ac:dyDescent="0.2">
      <c r="A5" s="8">
        <v>46384</v>
      </c>
      <c r="B5">
        <f>Weekly_Actuals!B11</f>
        <v>20444</v>
      </c>
      <c r="C5" s="4">
        <f>Weekly_Actuals!G11</f>
        <v>0.5071</v>
      </c>
      <c r="D5" s="9">
        <f>Weekly_Actuals!E11</f>
        <v>10368</v>
      </c>
      <c r="E5" s="9">
        <f>Forecast_Assumptions!$B$4</f>
        <v>34429.569556000009</v>
      </c>
      <c r="F5" s="9">
        <f>(B5-Forecast_Assumptions!$B$2)*Forecast_Assumptions!$B$3</f>
        <v>-7824.1568360000019</v>
      </c>
      <c r="G5" s="9">
        <f>B5*(C5-Forecast_Assumptions!$B$3)</f>
        <v>-16238.260320000005</v>
      </c>
      <c r="H5" s="9">
        <f>F5+G5</f>
        <v>-24062.417156000007</v>
      </c>
      <c r="I5" s="9">
        <f>H5-(D5-E5)</f>
        <v>-0.84759999999732827</v>
      </c>
    </row>
    <row r="6" spans="1:9" s="10" customFormat="1" x14ac:dyDescent="0.2">
      <c r="A6" s="10" t="s">
        <v>24</v>
      </c>
      <c r="B6" s="10">
        <f>SUM(B2:B5)</f>
        <v>114667</v>
      </c>
      <c r="C6" s="11"/>
      <c r="D6" s="12">
        <f>SUM(D2:D5)</f>
        <v>132081</v>
      </c>
      <c r="E6" s="12">
        <f>SUM(E2:E5)</f>
        <v>137718.27822400004</v>
      </c>
      <c r="F6" s="12">
        <f>SUM(F2:F5)</f>
        <v>11507.062235999998</v>
      </c>
      <c r="G6" s="12">
        <f>SUM(G2:G5)</f>
        <v>-17145.393860000022</v>
      </c>
      <c r="H6" s="12">
        <f>SUM(H2:H5)</f>
        <v>-5638.3316240000277</v>
      </c>
      <c r="I6" s="12">
        <f>SUM(I2:I5)</f>
        <v>-1.0533999999879597</v>
      </c>
    </row>
    <row r="8" spans="1:9" x14ac:dyDescent="0.2">
      <c r="A8" t="s">
        <v>19</v>
      </c>
      <c r="B8" t="s">
        <v>20</v>
      </c>
      <c r="C8" s="4" t="s">
        <v>21</v>
      </c>
      <c r="D8" s="9" t="s">
        <v>18</v>
      </c>
    </row>
    <row r="9" spans="1:9" x14ac:dyDescent="0.2">
      <c r="A9" s="9">
        <f>E6</f>
        <v>137718.27822400004</v>
      </c>
      <c r="B9" s="9">
        <f>F6</f>
        <v>11507.062235999998</v>
      </c>
      <c r="C9" s="4">
        <f>G6</f>
        <v>-17145.393860000022</v>
      </c>
      <c r="D9" s="9">
        <f>D6</f>
        <v>132081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Weekly_Actuals</vt:lpstr>
      <vt:lpstr>Forecast_Assumptions</vt:lpstr>
      <vt:lpstr>Variance_Bridge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Joevita Faustina Doss Felix Anthony Raj</dc:creator>
  <cp:lastModifiedBy>Joevita Faustina Doss Felix Anthony Raj</cp:lastModifiedBy>
  <dcterms:created xsi:type="dcterms:W3CDTF">2026-09-03T03:44:08Z</dcterms:created>
  <dcterms:modified xsi:type="dcterms:W3CDTF">2026-09-03T04:11:54Z</dcterms:modified>
</cp:coreProperties>
</file>